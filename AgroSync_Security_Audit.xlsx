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</sheets>
  <definedNames>
    <definedName name="_xlnm._FilterDatabase" localSheetId="1" hidden="1">'Findings'!$A$1:$K$34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%;-0%;-"/>
  </numFmts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9"/>
    </font>
    <font>
      <name val="Arial"/>
      <b val="1"/>
      <color rgb="00C00000"/>
      <sz val="11"/>
    </font>
    <font>
      <name val="Arial"/>
      <b val="1"/>
      <color rgb="00FFFFFF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AgroSync Security &amp; Code Audit</t>
        </is>
      </c>
    </row>
    <row r="2">
      <c r="A2" s="2" t="inlineStr">
        <is>
          <t>Audit date: 2026-10-05 · Scope: Laravel backend (routes, controller, middleware, config, migrations, seeders) and Next.js frontend auth/API layer · Method: static code review (no live exploitation)</t>
        </is>
      </c>
    </row>
    <row r="3">
      <c r="A3" s="3" t="inlineStr">
        <is>
          <t>Verdict: NOT SAFE TO DEPLOY — the API has no authentication; payment verification can be bypassed.</t>
        </is>
      </c>
    </row>
    <row r="5">
      <c r="A5" s="4" t="inlineStr">
        <is>
          <t>Severity</t>
        </is>
      </c>
      <c r="B5" s="4" t="inlineStr">
        <is>
          <t>Total</t>
        </is>
      </c>
      <c r="C5" s="4" t="inlineStr">
        <is>
          <t>Open</t>
        </is>
      </c>
      <c r="D5" s="4" t="inlineStr">
        <is>
          <t>In Progress</t>
        </is>
      </c>
      <c r="E5" s="4" t="inlineStr">
        <is>
          <t>Fixed</t>
        </is>
      </c>
      <c r="F5" s="4" t="inlineStr">
        <is>
          <t>Won't Fix</t>
        </is>
      </c>
      <c r="G5" s="4" t="inlineStr">
        <is>
          <t>% Fixed</t>
        </is>
      </c>
    </row>
    <row r="6">
      <c r="A6" s="5" t="inlineStr">
        <is>
          <t>Critical</t>
        </is>
      </c>
      <c r="B6" s="6">
        <f>COUNTIF(Findings!$B$2:$B$200,A6)</f>
        <v/>
      </c>
      <c r="C6" s="6">
        <f>COUNTIFS(Findings!$B$2:$B$200,$A6,Findings!$I$2:$I$200,"Open")</f>
        <v/>
      </c>
      <c r="D6" s="6">
        <f>COUNTIFS(Findings!$B$2:$B$200,$A6,Findings!$I$2:$I$200,"In Progress")</f>
        <v/>
      </c>
      <c r="E6" s="6">
        <f>COUNTIFS(Findings!$B$2:$B$200,$A6,Findings!$I$2:$I$200,"Fixed")</f>
        <v/>
      </c>
      <c r="F6" s="6">
        <f>COUNTIFS(Findings!$B$2:$B$200,$A6,Findings!$I$2:$I$200,"Won't Fix")</f>
        <v/>
      </c>
      <c r="G6" s="7">
        <f>IF(B6=0,0,E6/B6)</f>
        <v/>
      </c>
    </row>
    <row r="7">
      <c r="A7" s="8" t="inlineStr">
        <is>
          <t>High</t>
        </is>
      </c>
      <c r="B7" s="6">
        <f>COUNTIF(Findings!$B$2:$B$200,A7)</f>
        <v/>
      </c>
      <c r="C7" s="6">
        <f>COUNTIFS(Findings!$B$2:$B$200,$A7,Findings!$I$2:$I$200,"Open")</f>
        <v/>
      </c>
      <c r="D7" s="6">
        <f>COUNTIFS(Findings!$B$2:$B$200,$A7,Findings!$I$2:$I$200,"In Progress")</f>
        <v/>
      </c>
      <c r="E7" s="6">
        <f>COUNTIFS(Findings!$B$2:$B$200,$A7,Findings!$I$2:$I$200,"Fixed")</f>
        <v/>
      </c>
      <c r="F7" s="6">
        <f>COUNTIFS(Findings!$B$2:$B$200,$A7,Findings!$I$2:$I$200,"Won't Fix")</f>
        <v/>
      </c>
      <c r="G7" s="7">
        <f>IF(B7=0,0,E7/B7)</f>
        <v/>
      </c>
    </row>
    <row r="8">
      <c r="A8" s="9" t="inlineStr">
        <is>
          <t>Medium</t>
        </is>
      </c>
      <c r="B8" s="6">
        <f>COUNTIF(Findings!$B$2:$B$200,A8)</f>
        <v/>
      </c>
      <c r="C8" s="6">
        <f>COUNTIFS(Findings!$B$2:$B$200,$A8,Findings!$I$2:$I$200,"Open")</f>
        <v/>
      </c>
      <c r="D8" s="6">
        <f>COUNTIFS(Findings!$B$2:$B$200,$A8,Findings!$I$2:$I$200,"In Progress")</f>
        <v/>
      </c>
      <c r="E8" s="6">
        <f>COUNTIFS(Findings!$B$2:$B$200,$A8,Findings!$I$2:$I$200,"Fixed")</f>
        <v/>
      </c>
      <c r="F8" s="6">
        <f>COUNTIFS(Findings!$B$2:$B$200,$A8,Findings!$I$2:$I$200,"Won't Fix")</f>
        <v/>
      </c>
      <c r="G8" s="7">
        <f>IF(B8=0,0,E8/B8)</f>
        <v/>
      </c>
    </row>
    <row r="9">
      <c r="A9" s="10" t="inlineStr">
        <is>
          <t>Low</t>
        </is>
      </c>
      <c r="B9" s="6">
        <f>COUNTIF(Findings!$B$2:$B$200,A9)</f>
        <v/>
      </c>
      <c r="C9" s="6">
        <f>COUNTIFS(Findings!$B$2:$B$200,$A9,Findings!$I$2:$I$200,"Open")</f>
        <v/>
      </c>
      <c r="D9" s="6">
        <f>COUNTIFS(Findings!$B$2:$B$200,$A9,Findings!$I$2:$I$200,"In Progress")</f>
        <v/>
      </c>
      <c r="E9" s="6">
        <f>COUNTIFS(Findings!$B$2:$B$200,$A9,Findings!$I$2:$I$200,"Fixed")</f>
        <v/>
      </c>
      <c r="F9" s="6">
        <f>COUNTIFS(Findings!$B$2:$B$200,$A9,Findings!$I$2:$I$200,"Won't Fix")</f>
        <v/>
      </c>
      <c r="G9" s="7">
        <f>IF(B9=0,0,E9/B9)</f>
        <v/>
      </c>
    </row>
    <row r="10">
      <c r="A10" s="11" t="inlineStr">
        <is>
          <t>Total</t>
        </is>
      </c>
      <c r="B10" s="12">
        <f>SUM(B6:B9)</f>
        <v/>
      </c>
      <c r="C10" s="12">
        <f>SUM(C6:C9)</f>
        <v/>
      </c>
      <c r="D10" s="12">
        <f>SUM(D6:D9)</f>
        <v/>
      </c>
      <c r="E10" s="12">
        <f>SUM(E6:E9)</f>
        <v/>
      </c>
      <c r="F10" s="12">
        <f>SUM(F6:F9)</f>
        <v/>
      </c>
      <c r="G10" s="13">
        <f>IF(B10=0,0,E10/B10)</f>
        <v/>
      </c>
    </row>
    <row r="12">
      <c r="A12" s="14" t="inlineStr">
        <is>
          <t>How to use</t>
        </is>
      </c>
    </row>
    <row r="13">
      <c r="A13" s="15" t="inlineStr">
        <is>
          <t>Edit only the yellow columns on the Findings tab: Status (dropdown), Owner, Notes.</t>
        </is>
      </c>
    </row>
    <row r="14">
      <c r="A14" s="15" t="inlineStr">
        <is>
          <t>Counts on this tab update automatically from the Findings tab.</t>
        </is>
      </c>
    </row>
    <row r="15">
      <c r="A15" s="15" t="inlineStr">
        <is>
          <t>Fix order: 1) Sanctum auth  2) authorization/ownership  3) server-side payment verification  4) block admin self-registration</t>
        </is>
      </c>
    </row>
    <row r="16">
      <c r="A16" s="15" t="inlineStr">
        <is>
          <t>5) rate limits on login/OTP  6) input validation &amp; field allow-lists  7) move env() to config, rotate secrets  8) remove mock fallback.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34" customWidth="1" min="4" max="4"/>
    <col width="38" customWidth="1" min="5" max="5"/>
    <col width="55" customWidth="1" min="6" max="6"/>
    <col width="40" customWidth="1" min="7" max="7"/>
    <col width="5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6" t="inlineStr">
        <is>
          <t>ID</t>
        </is>
      </c>
      <c r="B1" s="16" t="inlineStr">
        <is>
          <t>Severity</t>
        </is>
      </c>
      <c r="C1" s="16" t="inlineStr">
        <is>
          <t>Category</t>
        </is>
      </c>
      <c r="D1" s="16" t="inlineStr">
        <is>
          <t>Title</t>
        </is>
      </c>
      <c r="E1" s="16" t="inlineStr">
        <is>
          <t>Location</t>
        </is>
      </c>
      <c r="F1" s="16" t="inlineStr">
        <is>
          <t>Description</t>
        </is>
      </c>
      <c r="G1" s="16" t="inlineStr">
        <is>
          <t>Impact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Owner</t>
        </is>
      </c>
      <c r="K1" s="16" t="inlineStr">
        <is>
          <t>Notes</t>
        </is>
      </c>
    </row>
    <row r="2">
      <c r="A2" s="17" t="inlineStr">
        <is>
          <t>C1</t>
        </is>
      </c>
      <c r="B2" s="18" t="inlineStr">
        <is>
          <t>Critical</t>
        </is>
      </c>
      <c r="C2" s="19" t="inlineStr">
        <is>
          <t>Authentication</t>
        </is>
      </c>
      <c r="D2" s="19" t="inlineStr">
        <is>
          <t>No authentication on any API route</t>
        </is>
      </c>
      <c r="E2" s="19" t="inlineStr">
        <is>
          <t>backend/routes/api.php; backend/app/Http/Controllers/Api/AgroSyncController.php:798; ams-frontend/services/index.ts:64-70</t>
        </is>
      </c>
      <c r="F2" s="19" t="inlineStr">
        <is>
          <t>Only ApiCors middleware is applied. The login token is random, never stored and never checked. The frontend sends no Authorization header; the session is just a user ID in localStorage.</t>
        </is>
      </c>
      <c r="G2" s="19" t="inlineStr">
        <is>
          <t>Anyone can call admin, payment, settlement and account-deletion endpoints directly with curl.</t>
        </is>
      </c>
      <c r="H2" s="19" t="inlineStr">
        <is>
          <t>Add Laravel Sanctum; issue tokens at login/OTP verify; put auth:sanctum on all non-public routes; send a Bearer token from the frontend.</t>
        </is>
      </c>
      <c r="I2" s="20" t="inlineStr">
        <is>
          <t>Fixed</t>
        </is>
      </c>
      <c r="J2" s="20" t="inlineStr"/>
      <c r="K2" s="20" t="inlineStr">
        <is>
          <t>Bearer-token auth (api_tokens table, AuthenticateApiToken middleware); frontend sends Authorization header.</t>
        </is>
      </c>
    </row>
    <row r="3">
      <c r="A3" s="17" t="inlineStr">
        <is>
          <t>C2</t>
        </is>
      </c>
      <c r="B3" s="18" t="inlineStr">
        <is>
          <t>Critical</t>
        </is>
      </c>
      <c r="C3" s="19" t="inlineStr">
        <is>
          <t>Authorization (IDOR)</t>
        </is>
      </c>
      <c r="D3" s="19" t="inlineStr">
        <is>
          <t>No ownership checks on any record</t>
        </is>
      </c>
      <c r="E3" s="19" t="inlineStr">
        <is>
          <t>Whole controller (e.g. backend/app/Http/Controllers/Api/AgroSyncController.php:1106-1121, 3180)</t>
        </is>
      </c>
      <c r="F3" s="19" t="inlineStr">
        <is>
          <t>Handlers trust farmerId/companyId/userId/officerId from the URL or body: DELETE /users/{id}, PATCH /users/{id}, settings, notifications, cart, products, listings, advisory responses.</t>
        </is>
      </c>
      <c r="G3" s="19" t="inlineStr">
        <is>
          <t>Any user can read, modify or delete any other user's data, or respond to cases as any officer.</t>
        </is>
      </c>
      <c r="H3" s="19" t="inlineStr">
        <is>
          <t>Add policies / role middleware; derive the acting user from auth()-&gt;user(), never from request IDs.</t>
        </is>
      </c>
      <c r="I3" s="20" t="inlineStr">
        <is>
          <t>Fixed</t>
        </is>
      </c>
      <c r="J3" s="20" t="inlineStr"/>
      <c r="K3" s="20" t="inlineStr">
        <is>
          <t>Ownership checks on every user-scoped endpoint; RequireRole middleware on role routes.</t>
        </is>
      </c>
    </row>
    <row r="4">
      <c r="A4" s="17" t="inlineStr">
        <is>
          <t>C3</t>
        </is>
      </c>
      <c r="B4" s="18" t="inlineStr">
        <is>
          <t>Critical</t>
        </is>
      </c>
      <c r="C4" s="19" t="inlineStr">
        <is>
          <t>Account takeover</t>
        </is>
      </c>
      <c r="D4" s="19" t="inlineStr">
        <is>
          <t>Admin takeover via unverified email change + OTP login</t>
        </is>
      </c>
      <c r="E4" s="19" t="inlineStr">
        <is>
          <t>backend/app/Http/Controllers/Api/AgroSyncController.php:547, 803-872</t>
        </is>
      </c>
      <c r="F4" s="19" t="inlineStr">
        <is>
          <t>PATCH /users/usr_adm_001 changes the email with no verification; send-otp then mails the login code to the new address.</t>
        </is>
      </c>
      <c r="G4" s="19" t="inlineStr">
        <is>
          <t>Full takeover of any account, including Super Admin.</t>
        </is>
      </c>
      <c r="H4" s="19" t="inlineStr">
        <is>
          <t>Require auth + ownership for profile edits; verify new email via OTP sent to the old and new address; check uniqueness.</t>
        </is>
      </c>
      <c r="I4" s="20" t="inlineStr">
        <is>
          <t>Fixed</t>
        </is>
      </c>
      <c r="J4" s="20" t="inlineStr"/>
      <c r="K4" s="20" t="inlineStr">
        <is>
          <t>Profile edits are self/admin only; email change needs current password and a uniqueness check.</t>
        </is>
      </c>
    </row>
    <row r="5">
      <c r="A5" s="17" t="inlineStr">
        <is>
          <t>C4</t>
        </is>
      </c>
      <c r="B5" s="18" t="inlineStr">
        <is>
          <t>Critical</t>
        </is>
      </c>
      <c r="C5" s="19" t="inlineStr">
        <is>
          <t>Payments</t>
        </is>
      </c>
      <c r="D5" s="19" t="inlineStr">
        <is>
          <t>Payments can be faked</t>
        </is>
      </c>
      <c r="E5" s="19" t="inlineStr">
        <is>
          <t>backend/app/Http/Controllers/Api/AgroSyncController.php:1360-1362, 1914, 2462, 2709, 2863</t>
        </is>
      </c>
      <c r="F5" s="19" t="inlineStr">
        <is>
          <t>Stripe success marks paid when session_id is empty; SSLCommerz success marks paid when status is empty/VALID without validation API; non-cod/stripe gateway marks order paid immediately; deal status update accepts paymentStatus from client.</t>
        </is>
      </c>
      <c r="G5" s="19" t="inlineStr">
        <is>
          <t>Orders/deals marked paid without payment; admin then releases vendor settlement for unpaid orders.</t>
        </is>
      </c>
      <c r="H5" s="19" t="inlineStr">
        <is>
          <t>Remove the empty-session bypass; verify via SSLCommerz validation API and Stripe webhook with signature check; never accept paymentStatus from clients.</t>
        </is>
      </c>
      <c r="I5" s="20" t="inlineStr">
        <is>
          <t>Fixed</t>
        </is>
      </c>
      <c r="J5" s="20" t="inlineStr"/>
      <c r="K5" s="20" t="inlineStr">
        <is>
          <t>Stripe/SSLCommerz verified server-side against the stored session/tran id; orders always start unpaid; client paymentStatus ignored.</t>
        </is>
      </c>
    </row>
    <row r="6">
      <c r="A6" s="17" t="inlineStr">
        <is>
          <t>C5</t>
        </is>
      </c>
      <c r="B6" s="18" t="inlineStr">
        <is>
          <t>Critical</t>
        </is>
      </c>
      <c r="C6" s="19" t="inlineStr">
        <is>
          <t>Privilege escalation</t>
        </is>
      </c>
      <c r="D6" s="19" t="inlineStr">
        <is>
          <t>Self-registration as admin; unknown roles skip OTP</t>
        </is>
      </c>
      <c r="E6" s="19" t="inlineStr">
        <is>
          <t>backend/app/Http/Controllers/Api/AgroSyncController.php:880-892</t>
        </is>
      </c>
      <c r="F6" s="19" t="inlineStr">
        <is>
          <t>register-role accepts role=admin from the client, needing only an OTP to the attacker's own inbox. Roles outside the list skip the OTP check. tenantId and id are client-controlled.</t>
        </is>
      </c>
      <c r="G6" s="19" t="inlineStr">
        <is>
          <t>Anyone can become a platform admin.</t>
        </is>
      </c>
      <c r="H6" s="19" t="inlineStr">
        <is>
          <t>Allow-list self-registerable roles (farmer, vendor, company); reject everything else; generate IDs and tenant server-side.</t>
        </is>
      </c>
      <c r="I6" s="20" t="inlineStr">
        <is>
          <t>Fixed</t>
        </is>
      </c>
      <c r="J6" s="20" t="inlineStr"/>
      <c r="K6" s="20" t="inlineStr">
        <is>
          <t>Only farmer/officer/vendor/company can self-register; officers start inactive until an admin activates them.</t>
        </is>
      </c>
    </row>
    <row r="7">
      <c r="A7" s="17" t="inlineStr">
        <is>
          <t>C6</t>
        </is>
      </c>
      <c r="B7" s="18" t="inlineStr">
        <is>
          <t>Critical</t>
        </is>
      </c>
      <c r="C7" s="19" t="inlineStr">
        <is>
          <t>Mass assignment</t>
        </is>
      </c>
      <c r="D7" s="19" t="inlineStr">
        <is>
          <t>Every request key written as a DB column</t>
        </is>
      </c>
      <c r="E7" s="19" t="inlineStr">
        <is>
          <t>backend/app/Http/Controllers/Api/AgroSyncController.php:1258, 3265</t>
        </is>
      </c>
      <c r="F7" s="19" t="inlineStr">
        <is>
          <t>updateProduct and updateTenant convert all request keys to columns.</t>
        </is>
      </c>
      <c r="G7" s="19" t="inlineStr">
        <is>
          <t>Attackers can change vendor_id, id, tenant_id, rating, mrr, status etc.</t>
        </is>
      </c>
      <c r="H7" s="19" t="inlineStr">
        <is>
          <t>Use explicit allow-lists of editable fields plus validation.</t>
        </is>
      </c>
      <c r="I7" s="20" t="inlineStr">
        <is>
          <t>Fixed</t>
        </is>
      </c>
      <c r="J7" s="20" t="inlineStr"/>
      <c r="K7" s="20" t="inlineStr">
        <is>
          <t>Explicit field allow-lists for products and tenants.</t>
        </is>
      </c>
    </row>
    <row r="8">
      <c r="A8" s="17" t="inlineStr">
        <is>
          <t>C7</t>
        </is>
      </c>
      <c r="B8" s="18" t="inlineStr">
        <is>
          <t>Critical</t>
        </is>
      </c>
      <c r="C8" s="19" t="inlineStr">
        <is>
          <t>Data exposure</t>
        </is>
      </c>
      <c r="D8" s="19" t="inlineStr">
        <is>
          <t>Bulk PII leak from /users and /farmers</t>
        </is>
      </c>
      <c r="E8" s="19" t="inlineStr">
        <is>
          <t>backend/app/Http/Controllers/Api/AgroSyncController.php:418-428, 988-1000</t>
        </is>
      </c>
      <c r="F8" s="19" t="inlineStr">
        <is>
          <t>Unauthenticated, unpaginated endpoints return every user's email, phone, nidHash and bKash account.</t>
        </is>
      </c>
      <c r="G8" s="19" t="inlineStr">
        <is>
          <t>Mass personal-data disclosure.</t>
        </is>
      </c>
      <c r="H8" s="19" t="inlineStr">
        <is>
          <t>Restrict to admins, paginate, and return only required fields.</t>
        </is>
      </c>
      <c r="I8" s="20" t="inlineStr">
        <is>
          <t>Fixed</t>
        </is>
      </c>
      <c r="J8" s="20" t="inlineStr"/>
      <c r="K8" s="20" t="inlineStr">
        <is>
          <t>/users is admin-only; /farmers hides nidHash, bKash and email from non-admins.</t>
        </is>
      </c>
    </row>
    <row r="9">
      <c r="A9" s="17" t="inlineStr">
        <is>
          <t>H1</t>
        </is>
      </c>
      <c r="B9" s="21" t="inlineStr">
        <is>
          <t>High</t>
        </is>
      </c>
      <c r="C9" s="19" t="inlineStr">
        <is>
          <t>Authentication</t>
        </is>
      </c>
      <c r="D9" s="19" t="inlineStr">
        <is>
          <t>OTP brute force, email bombing, user enumeration</t>
        </is>
      </c>
      <c r="E9" s="19" t="inlineStr">
        <is>
          <t>backend/app/Http/Controllers/Api/AgroSyncController.php:278-303, 803-847</t>
        </is>
      </c>
      <c r="F9" s="19" t="inlineStr">
        <is>
          <t>No attempt limit on verify-otp; otpToken optional (email alone works); 6-digit code valid 10 min. send-otp unthrottled and reveals whether an email exists.</t>
        </is>
      </c>
      <c r="G9" s="19" t="inlineStr">
        <is>
          <t>Login as any user by brute-forcing OTP; inbox flooding; account enumeration.</t>
        </is>
      </c>
      <c r="H9" s="19" t="inlineStr">
        <is>
          <t>Throttle routes; per-OTP attempt counter with lockout; require otpToken; generic responses.</t>
        </is>
      </c>
      <c r="I9" s="20" t="inlineStr">
        <is>
          <t>Fixed</t>
        </is>
      </c>
      <c r="J9" s="20" t="inlineStr"/>
      <c r="K9" s="20" t="inlineStr">
        <is>
          <t>otpToken required and bound to the email; OTP dies after 5 wrong codes; send-otp no longer reveals accounts; throttled.</t>
        </is>
      </c>
    </row>
    <row r="10">
      <c r="A10" s="17" t="inlineStr">
        <is>
          <t>H2</t>
        </is>
      </c>
      <c r="B10" s="21" t="inlineStr">
        <is>
          <t>High</t>
        </is>
      </c>
      <c r="C10" s="19" t="inlineStr">
        <is>
          <t>Authentication</t>
        </is>
      </c>
      <c r="D10" s="19" t="inlineStr">
        <is>
          <t>Login brute force</t>
        </is>
      </c>
      <c r="E10" s="19" t="inlineStr">
        <is>
          <t>backend/app/Http/Controllers/Api/AgroSyncController.php:776-801</t>
        </is>
      </c>
      <c r="F10" s="19" t="inlineStr">
        <is>
          <t>No throttling or lockout on /auth/login.</t>
        </is>
      </c>
      <c r="G10" s="19" t="inlineStr">
        <is>
          <t>Password guessing against any account.</t>
        </is>
      </c>
      <c r="H10" s="19" t="inlineStr">
        <is>
          <t>Apply throttle middleware and progressive lockout.</t>
        </is>
      </c>
      <c r="I10" s="20" t="inlineStr">
        <is>
          <t>Fixed</t>
        </is>
      </c>
      <c r="J10" s="20" t="inlineStr"/>
      <c r="K10" s="20" t="inlineStr">
        <is>
          <t>Login throttled per IP and per email (429).</t>
        </is>
      </c>
    </row>
    <row r="11">
      <c r="A11" s="17" t="inlineStr">
        <is>
          <t>H3</t>
        </is>
      </c>
      <c r="B11" s="21" t="inlineStr">
        <is>
          <t>High</t>
        </is>
      </c>
      <c r="C11" s="19" t="inlineStr">
        <is>
          <t>Credentials</t>
        </is>
      </c>
      <c r="D11" s="19" t="inlineStr">
        <is>
          <t>Weak default passwords and published demo credentials</t>
        </is>
      </c>
      <c r="E11" s="19" t="inlineStr">
        <is>
          <t>backend/app/Http/Controllers/Api/AgroSyncController.php:910; ams-frontend/services/index.ts:361-366; backend/database/seeders</t>
        </is>
      </c>
      <c r="F11" s="19" t="inlineStr">
        <is>
          <t>Registration defaults to password123 with no minimum length; all seeded accounts use password123; frontend bundle ships DEMO_CREDENTIALS including admin.</t>
        </is>
      </c>
      <c r="G11" s="19" t="inlineStr">
        <is>
          <t>Trivial access to seeded/admin accounts.</t>
        </is>
      </c>
      <c r="H11" s="19" t="inlineStr">
        <is>
          <t>Require a password with a minimum length; never seed in production; remove DEMO_CREDENTIALS from production builds.</t>
        </is>
      </c>
      <c r="I11" s="20" t="inlineStr">
        <is>
          <t>Fixed</t>
        </is>
      </c>
      <c r="J11" s="20" t="inlineStr"/>
      <c r="K11" s="20" t="inlineStr">
        <is>
          <t>Min 8-char passwords; demo seeders refuse to run in production; demo credentials only in mock mode.</t>
        </is>
      </c>
    </row>
    <row r="12">
      <c r="A12" s="17" t="inlineStr">
        <is>
          <t>H4</t>
        </is>
      </c>
      <c r="B12" s="21" t="inlineStr">
        <is>
          <t>High</t>
        </is>
      </c>
      <c r="C12" s="19" t="inlineStr">
        <is>
          <t>Secrets / TLS</t>
        </is>
      </c>
      <c r="D12" s="19" t="inlineStr">
        <is>
          <t>Committed SSLCommerz credentials; TLS verification disabled</t>
        </is>
      </c>
      <c r="E12" s="19" t="inlineStr">
        <is>
          <t>backend/.env.example; backend/app/Http/Controllers/Api/AgroSyncController.php:2208-2209, 2270</t>
        </is>
      </c>
      <c r="F12" s="19" t="inlineStr">
        <is>
          <t>Store ID and password committed as defaults; payment request uses withoutVerifying().</t>
        </is>
      </c>
      <c r="G12" s="19" t="inlineStr">
        <is>
          <t>Credential exposure; man-in-the-middle on payment traffic.</t>
        </is>
      </c>
      <c r="H12" s="19" t="inlineStr">
        <is>
          <t>Rotate credentials, remove defaults from code, re-enable TLS verification.</t>
        </is>
      </c>
      <c r="I12" s="20" t="inlineStr">
        <is>
          <t>Fixed</t>
        </is>
      </c>
      <c r="J12" s="20" t="inlineStr"/>
      <c r="K12" s="20" t="inlineStr">
        <is>
          <t>Credentials removed from code and .env.example; TLS verification on. ROTATE the SSLCommerz sandbox credentials.</t>
        </is>
      </c>
    </row>
    <row r="13">
      <c r="A13" s="17" t="inlineStr">
        <is>
          <t>H5</t>
        </is>
      </c>
      <c r="B13" s="21" t="inlineStr">
        <is>
          <t>High</t>
        </is>
      </c>
      <c r="C13" s="19" t="inlineStr">
        <is>
          <t>Configuration</t>
        </is>
      </c>
      <c r="D13" s="19" t="inlineStr">
        <is>
          <t>env() called at runtime (breaks with config:cache)</t>
        </is>
      </c>
      <c r="E13" s="19" t="inlineStr">
        <is>
          <t>backend/app/Http/Controllers/Api/AgroSyncController.php (multiple); backend/app/Http/Middleware/ApiCors.php</t>
        </is>
      </c>
      <c r="F13" s="19" t="inlineStr">
        <is>
          <t>After php artisan config:cache, env() returns null: Stripe key empty (falls back to mock gateway + C4 bypass), FRONTEND_URL falls back to localhost in CORS, weather key ignored.</t>
        </is>
      </c>
      <c r="G13" s="19" t="inlineStr">
        <is>
          <t>Production payments silently run in mock mode; CORS breaks.</t>
        </is>
      </c>
      <c r="H13" s="19" t="inlineStr">
        <is>
          <t>Move all env() reads into config/services.php and use config() in code.</t>
        </is>
      </c>
      <c r="I13" s="20" t="inlineStr">
        <is>
          <t>Fixed</t>
        </is>
      </c>
      <c r="J13" s="20" t="inlineStr"/>
      <c r="K13" s="20" t="inlineStr">
        <is>
          <t>All env() reads moved to config (services.php, app.php, agrosync.php, cors.php).</t>
        </is>
      </c>
    </row>
    <row r="14">
      <c r="A14" s="17" t="inlineStr">
        <is>
          <t>H6</t>
        </is>
      </c>
      <c r="B14" s="21" t="inlineStr">
        <is>
          <t>High</t>
        </is>
      </c>
      <c r="C14" s="19" t="inlineStr">
        <is>
          <t>Business logic</t>
        </is>
      </c>
      <c r="D14" s="19" t="inlineStr">
        <is>
          <t>Deal state machine bypassable</t>
        </is>
      </c>
      <c r="E14" s="19" t="inlineStr">
        <is>
          <t>backend/app/Http/Controllers/Api/AgroSyncController.php:1873, 1931</t>
        </is>
      </c>
      <c r="F14" s="19" t="inlineStr">
        <is>
          <t>actorRole is client-supplied; same-status updates rewrite price, quantity and payment status at any stage.</t>
        </is>
      </c>
      <c r="G14" s="19" t="inlineStr">
        <is>
          <t>Price/quantity changes after lock; fake paid status.</t>
        </is>
      </c>
      <c r="H14" s="19" t="inlineStr">
        <is>
          <t>Derive actor role from the authenticated user; disallow edits after lock.</t>
        </is>
      </c>
      <c r="I14" s="20" t="inlineStr">
        <is>
          <t>Fixed</t>
        </is>
      </c>
      <c r="J14" s="20" t="inlineStr"/>
      <c r="K14" s="20" t="inlineStr">
        <is>
          <t>Actor role comes from the token; price/qty only change during negotiation; gateway locked after payment.</t>
        </is>
      </c>
    </row>
    <row r="15">
      <c r="A15" s="17" t="inlineStr">
        <is>
          <t>H7</t>
        </is>
      </c>
      <c r="B15" s="21" t="inlineStr">
        <is>
          <t>High</t>
        </is>
      </c>
      <c r="C15" s="19" t="inlineStr">
        <is>
          <t>Frontend</t>
        </is>
      </c>
      <c r="D15" s="19" t="inlineStr">
        <is>
          <t>Silent mock fallback replaces the backend</t>
        </is>
      </c>
      <c r="E15" s="19" t="inlineStr">
        <is>
          <t>ams-frontend/services/index.ts:52-55, 1448</t>
        </is>
      </c>
      <c r="F15" s="19" t="inlineStr">
        <is>
          <t>If NEXT_PUBLIC_API_URL is unset or unreachable, auth runs on mock data with hardcoded passwords and OTP 123456.</t>
        </is>
      </c>
      <c r="G15" s="19" t="inlineStr">
        <is>
          <t>Misconfigured production deploy runs fake authentication.</t>
        </is>
      </c>
      <c r="H15" s="19" t="inlineStr">
        <is>
          <t>Remove mock fallback in production builds; fail loudly instead.</t>
        </is>
      </c>
      <c r="I15" s="20" t="inlineStr">
        <is>
          <t>Fixed</t>
        </is>
      </c>
      <c r="J15" s="20" t="inlineStr"/>
      <c r="K15" s="20" t="inlineStr">
        <is>
          <t>Mock fallback only when NEXT_PUBLIC_ENABLE_MOCK_API=true; otherwise errors surface.</t>
        </is>
      </c>
    </row>
    <row r="16">
      <c r="A16" s="17" t="inlineStr">
        <is>
          <t>H8</t>
        </is>
      </c>
      <c r="B16" s="21" t="inlineStr">
        <is>
          <t>High</t>
        </is>
      </c>
      <c r="C16" s="19" t="inlineStr">
        <is>
          <t>Configuration</t>
        </is>
      </c>
      <c r="D16" s="19" t="inlineStr">
        <is>
          <t>Debug mode and OTPs written to logs</t>
        </is>
      </c>
      <c r="E16" s="19" t="inlineStr">
        <is>
          <t>backend/.env.example</t>
        </is>
      </c>
      <c r="F16" s="19" t="inlineStr">
        <is>
          <t>APP_DEBUG=true and LOG_LEVEL=debug leak stack traces/SQL; MAIL_MAILER=log writes OTP codes to laravel.log.</t>
        </is>
      </c>
      <c r="G16" s="19" t="inlineStr">
        <is>
          <t>Information disclosure; OTP leakage from logs.</t>
        </is>
      </c>
      <c r="H16" s="19" t="inlineStr">
        <is>
          <t>APP_DEBUG=false in production; use a real mailer; never log OTPs.</t>
        </is>
      </c>
      <c r="I16" s="20" t="inlineStr">
        <is>
          <t>Fixed</t>
        </is>
      </c>
      <c r="J16" s="20" t="inlineStr"/>
      <c r="K16" s="20" t="inlineStr">
        <is>
          <t>.env.example defaults: APP_DEBUG=false, LOG_LEVEL=info, MAIL_MAILER=smtp.</t>
        </is>
      </c>
    </row>
    <row r="17">
      <c r="A17" s="17" t="inlineStr">
        <is>
          <t>M1</t>
        </is>
      </c>
      <c r="B17" s="22" t="inlineStr">
        <is>
          <t>Medium</t>
        </is>
      </c>
      <c r="C17" s="19" t="inlineStr">
        <is>
          <t>Validation</t>
        </is>
      </c>
      <c r="D17" s="19" t="inlineStr">
        <is>
          <t>No input validation anywhere</t>
        </is>
      </c>
      <c r="E17" s="19" t="inlineStr">
        <is>
          <t>Whole controller</t>
        </is>
      </c>
      <c r="F17" s="19" t="inlineStr">
        <is>
          <t>$request-&gt;validate() / FormRequests never used.</t>
        </is>
      </c>
      <c r="G17" s="19" t="inlineStr">
        <is>
          <t>Bad data, 500 errors, and the enabler for many issues here.</t>
        </is>
      </c>
      <c r="H17" s="19" t="inlineStr">
        <is>
          <t>Add FormRequests for every write endpoint.</t>
        </is>
      </c>
      <c r="I17" s="20" t="inlineStr">
        <is>
          <t>Fixed</t>
        </is>
      </c>
      <c r="J17" s="20" t="inlineStr"/>
      <c r="K17" s="20" t="inlineStr">
        <is>
          <t>Validator rules on all write endpoints.</t>
        </is>
      </c>
    </row>
    <row r="18">
      <c r="A18" s="17" t="inlineStr">
        <is>
          <t>M2</t>
        </is>
      </c>
      <c r="B18" s="22" t="inlineStr">
        <is>
          <t>Medium</t>
        </is>
      </c>
      <c r="C18" s="19" t="inlineStr">
        <is>
          <t>Business logic</t>
        </is>
      </c>
      <c r="D18" s="19" t="inlineStr">
        <is>
          <t>Order quantity/stock not validated; race conditions</t>
        </is>
      </c>
      <c r="E18" s="19" t="inlineStr">
        <is>
          <t>backend/app/Http/Controllers/Api/AgroSyncController.php:1294-1305, 1357, 1398</t>
        </is>
      </c>
      <c r="F18" s="19" t="inlineStr">
        <is>
          <t>Negative quantities produce negative totals and increase stock; no stock check (overselling); no row locking; cart accepts negatives.</t>
        </is>
      </c>
      <c r="G18" s="19" t="inlineStr">
        <is>
          <t>Financial and inventory corruption.</t>
        </is>
      </c>
      <c r="H18" s="19" t="inlineStr">
        <is>
          <t>Validate quantity &gt;= 1; check stock with lockForUpdate inside the transaction.</t>
        </is>
      </c>
      <c r="I18" s="20" t="inlineStr">
        <is>
          <t>Fixed</t>
        </is>
      </c>
      <c r="J18" s="20" t="inlineStr"/>
      <c r="K18" s="20" t="inlineStr">
        <is>
          <t>Quantity 1..10000; stock checked under lockForUpdate; stock restored on cancel/return.</t>
        </is>
      </c>
    </row>
    <row r="19">
      <c r="A19" s="17" t="inlineStr">
        <is>
          <t>M3</t>
        </is>
      </c>
      <c r="B19" s="22" t="inlineStr">
        <is>
          <t>Medium</t>
        </is>
      </c>
      <c r="C19" s="19" t="inlineStr">
        <is>
          <t>Business logic</t>
        </is>
      </c>
      <c r="D19" s="19" t="inlineStr">
        <is>
          <t>Order status accepts any string from anyone</t>
        </is>
      </c>
      <c r="E19" s="19" t="inlineStr">
        <is>
          <t>backend/app/Http/Controllers/Api/AgroSyncController.php:1426</t>
        </is>
      </c>
      <c r="F19" s="19" t="inlineStr">
        <is>
          <t>No allowed-status list or transition rules.</t>
        </is>
      </c>
      <c r="G19" s="19" t="inlineStr">
        <is>
          <t>Orders can be pushed to arbitrary or invalid states.</t>
        </is>
      </c>
      <c r="H19" s="19" t="inlineStr">
        <is>
          <t>Enforce allowed statuses and transitions per role.</t>
        </is>
      </c>
      <c r="I19" s="20" t="inlineStr">
        <is>
          <t>Fixed</t>
        </is>
      </c>
      <c r="J19" s="20" t="inlineStr"/>
      <c r="K19" s="20" t="inlineStr">
        <is>
          <t>Per-role order transition table.</t>
        </is>
      </c>
    </row>
    <row r="20">
      <c r="A20" s="17" t="inlineStr">
        <is>
          <t>M4</t>
        </is>
      </c>
      <c r="B20" s="22" t="inlineStr">
        <is>
          <t>Medium</t>
        </is>
      </c>
      <c r="C20" s="19" t="inlineStr">
        <is>
          <t>Data integrity</t>
        </is>
      </c>
      <c r="D20" s="19" t="inlineStr">
        <is>
          <t>Partial profile update wipes data</t>
        </is>
      </c>
      <c r="E20" s="19" t="inlineStr">
        <is>
          <t>backend/app/Http/Controllers/Api/AgroSyncController.php:561-600</t>
        </is>
      </c>
      <c r="F20" s="19" t="inlineStr">
        <is>
          <t>Omitted fields reset bkash_account, name_bn, land_size, crop_types, tags and districts to null/0/empty.</t>
        </is>
      </c>
      <c r="G20" s="19" t="inlineStr">
        <is>
          <t>Users lose profile data on partial edits.</t>
        </is>
      </c>
      <c r="H20" s="19" t="inlineStr">
        <is>
          <t>Only update fields present in the request.</t>
        </is>
      </c>
      <c r="I20" s="20" t="inlineStr">
        <is>
          <t>Fixed</t>
        </is>
      </c>
      <c r="J20" s="20" t="inlineStr"/>
      <c r="K20" s="20" t="inlineStr">
        <is>
          <t>Only fields present in the request are written.</t>
        </is>
      </c>
    </row>
    <row r="21">
      <c r="A21" s="17" t="inlineStr">
        <is>
          <t>M5</t>
        </is>
      </c>
      <c r="B21" s="22" t="inlineStr">
        <is>
          <t>Medium</t>
        </is>
      </c>
      <c r="C21" s="19" t="inlineStr">
        <is>
          <t>Data integrity</t>
        </is>
      </c>
      <c r="D21" s="19" t="inlineStr">
        <is>
          <t>Email change not checked for duplicates</t>
        </is>
      </c>
      <c r="E21" s="19" t="inlineStr">
        <is>
          <t>backend/app/Http/Controllers/Api/AgroSyncController.php:547</t>
        </is>
      </c>
      <c r="F21" s="19" t="inlineStr">
        <is>
          <t>Duplicate email hits the unique constraint.</t>
        </is>
      </c>
      <c r="G21" s="19" t="inlineStr">
        <is>
          <t>500 error instead of a clear message.</t>
        </is>
      </c>
      <c r="H21" s="19" t="inlineStr">
        <is>
          <t>Validate unique:users,email except the current user.</t>
        </is>
      </c>
      <c r="I21" s="20" t="inlineStr">
        <is>
          <t>Fixed</t>
        </is>
      </c>
      <c r="J21" s="20" t="inlineStr"/>
      <c r="K21" s="20" t="inlineStr">
        <is>
          <t>Duplicate email returns 422.</t>
        </is>
      </c>
    </row>
    <row r="22">
      <c r="A22" s="17" t="inlineStr">
        <is>
          <t>M6</t>
        </is>
      </c>
      <c r="B22" s="22" t="inlineStr">
        <is>
          <t>Medium</t>
        </is>
      </c>
      <c r="C22" s="19" t="inlineStr">
        <is>
          <t>Correctness</t>
        </is>
      </c>
      <c r="D22" s="19" t="inlineStr">
        <is>
          <t>Password change can silently do nothing</t>
        </is>
      </c>
      <c r="E22" s="19" t="inlineStr">
        <is>
          <t>backend/app/Http/Controllers/Api/AgroSyncController.php:3149-3177</t>
        </is>
      </c>
      <c r="F22" s="19" t="inlineStr">
        <is>
          <t>User looked up by public or role ID, but update uses where public_id = $userId.</t>
        </is>
      </c>
      <c r="G22" s="19" t="inlineStr">
        <is>
          <t>Returns success while the password is unchanged.</t>
        </is>
      </c>
      <c r="H22" s="19" t="inlineStr">
        <is>
          <t>Update using $user-&gt;public_id.</t>
        </is>
      </c>
      <c r="I22" s="20" t="inlineStr">
        <is>
          <t>Fixed</t>
        </is>
      </c>
      <c r="J22" s="20" t="inlineStr"/>
      <c r="K22" s="20" t="inlineStr">
        <is>
          <t>Update uses the resolved user's public_id; other sessions revoked.</t>
        </is>
      </c>
    </row>
    <row r="23">
      <c r="A23" s="17" t="inlineStr">
        <is>
          <t>M7</t>
        </is>
      </c>
      <c r="B23" s="22" t="inlineStr">
        <is>
          <t>Medium</t>
        </is>
      </c>
      <c r="C23" s="19" t="inlineStr">
        <is>
          <t>Correctness</t>
        </is>
      </c>
      <c r="D23" s="19" t="inlineStr">
        <is>
          <t>Collision-prone ID generation</t>
        </is>
      </c>
      <c r="E23" s="19" t="inlineStr">
        <is>
          <t>backend/app/Http/Controllers/Api/AgroSyncController.php:891, 1586, 1220, 1737, 3244</t>
        </is>
      </c>
      <c r="F23" s="19" t="inlineStr">
        <is>
          <t>CRP-### allows only 999 listings; user IDs use count+1 (duplicates after deletion); tenant/product/deal IDs based on timestamp fragments.</t>
        </is>
      </c>
      <c r="G23" s="19" t="inlineStr">
        <is>
          <t>Primary-key collisions and 500 errors as data grows.</t>
        </is>
      </c>
      <c r="H23" s="19" t="inlineStr">
        <is>
          <t>Use UUIDs/ULIDs or auto-increment keys.</t>
        </is>
      </c>
      <c r="I23" s="20" t="inlineStr">
        <is>
          <t>Fixed</t>
        </is>
      </c>
      <c r="J23" s="20" t="inlineStr"/>
      <c r="K23" s="20" t="inlineStr">
        <is>
          <t>Collision-checked random ids (uniqueId helper).</t>
        </is>
      </c>
    </row>
    <row r="24">
      <c r="A24" s="17" t="inlineStr">
        <is>
          <t>M8</t>
        </is>
      </c>
      <c r="B24" s="22" t="inlineStr">
        <is>
          <t>Medium</t>
        </is>
      </c>
      <c r="C24" s="19" t="inlineStr">
        <is>
          <t>Data integrity</t>
        </is>
      </c>
      <c r="D24" s="19" t="inlineStr">
        <is>
          <t>Orphan/junk records created</t>
        </is>
      </c>
      <c r="E24" s="19" t="inlineStr">
        <is>
          <t>backend/app/Http/Controllers/Api/AgroSyncController.php:1581-1590, 1698</t>
        </is>
      </c>
      <c r="F24" s="19" t="inlineStr">
        <is>
          <t>createCropListing inserts listings for nonexistent farmers; expressInterest auto-creates company rows for any ID string.</t>
        </is>
      </c>
      <c r="G24" s="19" t="inlineStr">
        <is>
          <t>Database pollution.</t>
        </is>
      </c>
      <c r="H24" s="19" t="inlineStr">
        <is>
          <t>Reject requests for unknown entities.</t>
        </is>
      </c>
      <c r="I24" s="20" t="inlineStr">
        <is>
          <t>Fixed</t>
        </is>
      </c>
      <c r="J24" s="20" t="inlineStr"/>
      <c r="K24" s="20" t="inlineStr">
        <is>
          <t>Unknown farmer/company rejected; no auto-created company rows.</t>
        </is>
      </c>
    </row>
    <row r="25">
      <c r="A25" s="17" t="inlineStr">
        <is>
          <t>M9</t>
        </is>
      </c>
      <c r="B25" s="22" t="inlineStr">
        <is>
          <t>Medium</t>
        </is>
      </c>
      <c r="C25" s="19" t="inlineStr">
        <is>
          <t>Business logic</t>
        </is>
      </c>
      <c r="D25" s="19" t="inlineStr">
        <is>
          <t>Crop interest skips farmer confirmation</t>
        </is>
      </c>
      <c r="E25" s="19" t="inlineStr">
        <is>
          <t>backend/app/Http/Controllers/Api/AgroSyncController.php:1754</t>
        </is>
      </c>
      <c r="F25" s="19" t="inlineStr">
        <is>
          <t>expressInterest sets the deal straight to confirmed.</t>
        </is>
      </c>
      <c r="G25" s="19" t="inlineStr">
        <is>
          <t>Farmer-confirmation step bypassed.</t>
        </is>
      </c>
      <c r="H25" s="19" t="inlineStr">
        <is>
          <t>Create deals as pending.</t>
        </is>
      </c>
      <c r="I25" s="20" t="inlineStr">
        <is>
          <t>Fixed</t>
        </is>
      </c>
      <c r="J25" s="20" t="inlineStr"/>
      <c r="K25" s="20" t="inlineStr">
        <is>
          <t>Interest creates a pending deal and notifies the farmer.</t>
        </is>
      </c>
    </row>
    <row r="26">
      <c r="A26" s="17" t="inlineStr">
        <is>
          <t>M10</t>
        </is>
      </c>
      <c r="B26" s="22" t="inlineStr">
        <is>
          <t>Medium</t>
        </is>
      </c>
      <c r="C26" s="19" t="inlineStr">
        <is>
          <t>Abuse</t>
        </is>
      </c>
      <c r="D26" s="19" t="inlineStr">
        <is>
          <t>Weather endpoint open to quota exhaustion</t>
        </is>
      </c>
      <c r="E26" s="19" t="inlineStr">
        <is>
          <t>backend/app/Http/Controllers/Api/AgroSyncController.php:672-774</t>
        </is>
      </c>
      <c r="F26" s="19" t="inlineStr">
        <is>
          <t>Unauthenticated; calls a paid API and writes to the DB for any caller-supplied location.</t>
        </is>
      </c>
      <c r="G26" s="19" t="inlineStr">
        <is>
          <t>API quota exhaustion and cache pollution.</t>
        </is>
      </c>
      <c r="H26" s="19" t="inlineStr">
        <is>
          <t>Throttle; restrict to known districts; cache responses.</t>
        </is>
      </c>
      <c r="I26" s="20" t="inlineStr">
        <is>
          <t>Fixed</t>
        </is>
      </c>
      <c r="J26" s="20" t="inlineStr"/>
      <c r="K26" s="20" t="inlineStr">
        <is>
          <t>Location validated; responses cached 30 min; route throttled.</t>
        </is>
      </c>
    </row>
    <row r="27">
      <c r="A27" s="17" t="inlineStr">
        <is>
          <t>M11</t>
        </is>
      </c>
      <c r="B27" s="22" t="inlineStr">
        <is>
          <t>Medium</t>
        </is>
      </c>
      <c r="C27" s="19" t="inlineStr">
        <is>
          <t>Frontend</t>
        </is>
      </c>
      <c r="D27" s="19" t="inlineStr">
        <is>
          <t>postMessage sent to '*' and origin not checked</t>
        </is>
      </c>
      <c r="E27" s="19" t="inlineStr">
        <is>
          <t>backend/app/Http/Controllers/Api/AgroSyncController.php:3010; ams-frontend/components/dashboard/DashboardShell.tsx:147</t>
        </is>
      </c>
      <c r="F27" s="19" t="inlineStr">
        <is>
          <t>Payment popup broadcasts to any opener; listener does not check event.origin.</t>
        </is>
      </c>
      <c r="G27" s="19" t="inlineStr">
        <is>
          <t>Info leak of deal/transaction IDs; spoofed payment events.</t>
        </is>
      </c>
      <c r="H27" s="19" t="inlineStr">
        <is>
          <t>Post to the frontend origin; check event.origin in the listener.</t>
        </is>
      </c>
      <c r="I27" s="20" t="inlineStr">
        <is>
          <t>Fixed</t>
        </is>
      </c>
      <c r="J27" s="20" t="inlineStr"/>
      <c r="K27" s="20" t="inlineStr">
        <is>
          <t>postMessage targets the frontend origin; listener checks event.origin.</t>
        </is>
      </c>
    </row>
    <row r="28">
      <c r="A28" s="17" t="inlineStr">
        <is>
          <t>M12</t>
        </is>
      </c>
      <c r="B28" s="22" t="inlineStr">
        <is>
          <t>Medium</t>
        </is>
      </c>
      <c r="C28" s="19" t="inlineStr">
        <is>
          <t>Validation</t>
        </is>
      </c>
      <c r="D28" s="19" t="inlineStr">
        <is>
          <t>No size limits on avatar/photos</t>
        </is>
      </c>
      <c r="E28" s="19" t="inlineStr">
        <is>
          <t>backend/app/Http/Controllers/Api/AgroSyncController.php:74-85</t>
        </is>
      </c>
      <c r="F28" s="19" t="inlineStr">
        <is>
          <t>Avatar (TEXT column) and photo arrays accept strings of any size.</t>
        </is>
      </c>
      <c r="G28" s="19" t="inlineStr">
        <is>
          <t>Storage exhaustion.</t>
        </is>
      </c>
      <c r="H28" s="19" t="inlineStr">
        <is>
          <t>Use proper file uploads with size/type validation.</t>
        </is>
      </c>
      <c r="I28" s="20" t="inlineStr">
        <is>
          <t>Fixed</t>
        </is>
      </c>
      <c r="J28" s="20" t="inlineStr"/>
      <c r="K28" s="20" t="inlineStr">
        <is>
          <t>Images must be http(s) or data:image URLs, max 2 MB, max 6.</t>
        </is>
      </c>
    </row>
    <row r="29">
      <c r="A29" s="17" t="inlineStr">
        <is>
          <t>L1</t>
        </is>
      </c>
      <c r="B29" s="23" t="inlineStr">
        <is>
          <t>Low</t>
        </is>
      </c>
      <c r="C29" s="19" t="inlineStr">
        <is>
          <t>Performance</t>
        </is>
      </c>
      <c r="D29" s="19" t="inlineStr">
        <is>
          <t>Per-row queries and no pagination</t>
        </is>
      </c>
      <c r="E29" s="19" t="inlineStr">
        <is>
          <t>backend/app/Http/Controllers/Api/AgroSyncController.php (user(), order(), product(), deals)</t>
        </is>
      </c>
      <c r="F29" s="19" t="inlineStr">
        <is>
          <t>Mappers run several queries per row; no list endpoint is paginated.</t>
        </is>
      </c>
      <c r="G29" s="19" t="inlineStr">
        <is>
          <t>Slowdown and denial-of-service risk as data grows.</t>
        </is>
      </c>
      <c r="H29" s="19" t="inlineStr">
        <is>
          <t>Use joins/eager loading and paginate every list.</t>
        </is>
      </c>
      <c r="I29" s="20" t="inlineStr">
        <is>
          <t>In Progress</t>
        </is>
      </c>
      <c r="J29" s="20" t="inlineStr"/>
      <c r="K29" s="20" t="inlineStr">
        <is>
          <t>Per-request memo for repeated lookups in list mappers. Pagination not added (would change the API response shape).</t>
        </is>
      </c>
    </row>
    <row r="30">
      <c r="A30" s="17" t="inlineStr">
        <is>
          <t>L2</t>
        </is>
      </c>
      <c r="B30" s="23" t="inlineStr">
        <is>
          <t>Low</t>
        </is>
      </c>
      <c r="C30" s="19" t="inlineStr">
        <is>
          <t>Maintainability</t>
        </is>
      </c>
      <c r="D30" s="19" t="inlineStr">
        <is>
          <t>3,476-line controller; Eloquent models unused</t>
        </is>
      </c>
      <c r="E30" s="19" t="inlineStr">
        <is>
          <t>backend/app/Http/Controllers/Api/AgroSyncController.php</t>
        </is>
      </c>
      <c r="F30" s="19" t="inlineStr">
        <is>
          <t>All logic in one controller with raw DB:: calls.</t>
        </is>
      </c>
      <c r="G30" s="19" t="inlineStr">
        <is>
          <t>Hard to review, test and secure.</t>
        </is>
      </c>
      <c r="H30" s="19" t="inlineStr">
        <is>
          <t>Split into per-domain controllers/services using the existing models.</t>
        </is>
      </c>
      <c r="I30" s="20" t="inlineStr">
        <is>
          <t>Open</t>
        </is>
      </c>
      <c r="J30" s="20" t="inlineStr"/>
      <c r="K30" s="20" t="inlineStr">
        <is>
          <t>Not refactored: splitting the controller is a separate structural change.</t>
        </is>
      </c>
    </row>
    <row r="31">
      <c r="A31" s="17" t="inlineStr">
        <is>
          <t>L3</t>
        </is>
      </c>
      <c r="B31" s="23" t="inlineStr">
        <is>
          <t>Low</t>
        </is>
      </c>
      <c r="C31" s="19" t="inlineStr">
        <is>
          <t>Correctness</t>
        </is>
      </c>
      <c r="D31" s="19" t="inlineStr">
        <is>
          <t>Hardcoded fake admin metrics</t>
        </is>
      </c>
      <c r="E31" s="19" t="inlineStr">
        <is>
          <t>backend/app/Http/Controllers/Api/AgroSyncController.php:3279-3304, 521-529</t>
        </is>
      </c>
      <c r="F31" s="19" t="inlineStr">
        <is>
          <t>uptime 99.98 and advisoryDeliveryRate 96.4 are constants; demo case IDs hardcoded into regional stats.</t>
        </is>
      </c>
      <c r="G31" s="19" t="inlineStr">
        <is>
          <t>Misleading dashboards.</t>
        </is>
      </c>
      <c r="H31" s="19" t="inlineStr">
        <is>
          <t>Compute real values or label them as placeholders.</t>
        </is>
      </c>
      <c r="I31" s="20" t="inlineStr">
        <is>
          <t>Fixed</t>
        </is>
      </c>
      <c r="J31" s="20" t="inlineStr"/>
      <c r="K31" s="20" t="inlineStr">
        <is>
          <t>Fake uptime removed; delivery rate computed; demo case ids moved to config.</t>
        </is>
      </c>
    </row>
    <row r="32">
      <c r="A32" s="17" t="inlineStr">
        <is>
          <t>L4</t>
        </is>
      </c>
      <c r="B32" s="23" t="inlineStr">
        <is>
          <t>Low</t>
        </is>
      </c>
      <c r="C32" s="19" t="inlineStr">
        <is>
          <t>Testing</t>
        </is>
      </c>
      <c r="D32" s="19" t="inlineStr">
        <is>
          <t>No auth/authorization tests</t>
        </is>
      </c>
      <c r="E32" s="19" t="inlineStr">
        <is>
          <t>backend/tests</t>
        </is>
      </c>
      <c r="F32" s="19" t="inlineStr">
        <is>
          <t>Only 4 feature tests; none cover access control.</t>
        </is>
      </c>
      <c r="G32" s="19" t="inlineStr">
        <is>
          <t>Regressions go unnoticed.</t>
        </is>
      </c>
      <c r="H32" s="19" t="inlineStr">
        <is>
          <t>Add tests for every access rule as fixes land.</t>
        </is>
      </c>
      <c r="I32" s="20" t="inlineStr">
        <is>
          <t>Fixed</t>
        </is>
      </c>
      <c r="J32" s="20" t="inlineStr"/>
      <c r="K32" s="20" t="inlineStr">
        <is>
          <t>22 new security regression tests (tests/Feature/SecurityTest.php); suite 30/30 passing.</t>
        </is>
      </c>
    </row>
    <row r="33">
      <c r="A33" s="17" t="inlineStr">
        <is>
          <t>L5</t>
        </is>
      </c>
      <c r="B33" s="23" t="inlineStr">
        <is>
          <t>Low</t>
        </is>
      </c>
      <c r="C33" s="19" t="inlineStr">
        <is>
          <t>Repo hygiene</t>
        </is>
      </c>
      <c r="D33" s="19" t="inlineStr">
        <is>
          <t>Build artifact committed; duplicate env key</t>
        </is>
      </c>
      <c r="E33" s="19" t="inlineStr">
        <is>
          <t>ams-frontend/tsconfig.tsbuildinfo; backend/.env.example</t>
        </is>
      </c>
      <c r="F33" s="19" t="inlineStr">
        <is>
          <t>tsconfig.tsbuildinfo is committed; FRONTEND_URL defined twice.</t>
        </is>
      </c>
      <c r="G33" s="19" t="inlineStr">
        <is>
          <t>Noise and confusion.</t>
        </is>
      </c>
      <c r="H33" s="19" t="inlineStr">
        <is>
          <t>Git-ignore the artifact; remove the duplicate key.</t>
        </is>
      </c>
      <c r="I33" s="20" t="inlineStr">
        <is>
          <t>Fixed</t>
        </is>
      </c>
      <c r="J33" s="20" t="inlineStr"/>
      <c r="K33" s="20" t="inlineStr">
        <is>
          <t>tsconfig.tsbuildinfo untracked and git-ignored; duplicate env key removed.</t>
        </is>
      </c>
    </row>
    <row r="34">
      <c r="A34" s="17" t="inlineStr">
        <is>
          <t>N1</t>
        </is>
      </c>
      <c r="B34" s="21" t="inlineStr">
        <is>
          <t>High</t>
        </is>
      </c>
      <c r="C34" s="19" t="inlineStr">
        <is>
          <t>XSS</t>
        </is>
      </c>
      <c r="D34" s="19" t="inlineStr">
        <is>
          <t>Reflected XSS in payment popup page</t>
        </is>
      </c>
      <c r="E34" s="19" t="inlineStr">
        <is>
          <t>backend/app/Http/Controllers/Api/AgroSyncController.php (sslPaymentPopupResponse)</t>
        </is>
      </c>
      <c r="F34" s="19" t="inlineStr">
        <is>
          <t>deal_id from the query string was embedded in a &lt;script&gt; block via json_encode(JSON_UNESCAPED_SLASHES), allowing &lt;/script&gt; injection.</t>
        </is>
      </c>
      <c r="G34" s="19" t="inlineStr">
        <is>
          <t>Script execution on the API origin via a crafted payment callback link.</t>
        </is>
      </c>
      <c r="H34" s="19" t="inlineStr">
        <is>
          <t>Encode with JSON_HEX_TAG|AMP|APOS|QUOT.</t>
        </is>
      </c>
      <c r="I34" s="20" t="inlineStr">
        <is>
          <t>Fixed</t>
        </is>
      </c>
      <c r="J34" s="20" t="inlineStr"/>
      <c r="K34" s="20" t="inlineStr">
        <is>
          <t>Found while fixing C4; regression test added.</t>
        </is>
      </c>
    </row>
  </sheetData>
  <autoFilter ref="A1:K34"/>
  <conditionalFormatting sqref="I2:I200">
    <cfRule type="expression" priority="1" dxfId="0">
      <formula>$I2="Fixed"</formula>
    </cfRule>
  </conditionalFormatting>
  <dataValidations count="1">
    <dataValidation sqref="I2:I200" showDropDown="0" showInputMessage="0" showErrorMessage="0" allowBlank="0" type="list">
      <formula1>"Open,In Progress,Fixed,Won't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2026-10-05T10:55:11Z</dcterms:created>
  <dcterms:modified xsi:type="dcterms:W3CDTF">2026-10-05T11:23:34Z</dcterms:modified>
</cp:coreProperties>
</file>